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값" sheetId="1" state="visible" r:id="rId1"/>
    <sheet xmlns:r="http://schemas.openxmlformats.org/officeDocument/2006/relationships" name="손익" sheetId="2" state="visible" r:id="rId2"/>
    <sheet xmlns:r="http://schemas.openxmlformats.org/officeDocument/2006/relationships" name="손익분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&quot;원&quot;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i val="1"/>
      <color rgb="006B7280"/>
      <sz val="9"/>
    </font>
    <font>
      <name val="맑은 고딕"/>
      <b val="1"/>
      <color rgb="000A1A0F"/>
      <sz val="11"/>
    </font>
    <font>
      <name val="맑은 고딕"/>
      <sz val="10"/>
    </font>
    <font>
      <name val="맑은 고딕"/>
      <b val="1"/>
      <color rgb="009C5700"/>
      <sz val="10"/>
    </font>
    <font>
      <name val="맑은 고딕"/>
      <b val="1"/>
      <sz val="11"/>
    </font>
    <font>
      <name val="맑은 고딕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C8EDDD"/>
      </patternFill>
    </fill>
    <fill>
      <patternFill patternType="solid">
        <fgColor rgb="00FFF3C4"/>
      </patternFill>
    </fill>
    <fill>
      <patternFill patternType="solid">
        <fgColor rgb="00EAF6F1"/>
      </patternFill>
    </fill>
    <fill>
      <patternFill patternType="solid">
        <fgColor rgb="00EF9F2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3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6" fillId="5" borderId="0" pivotButton="0" quotePrefix="0" xfId="0"/>
    <xf numFmtId="166" fontId="6" fillId="5" borderId="1" applyAlignment="1" pivotButton="0" quotePrefix="0" xfId="0">
      <alignment horizontal="right"/>
    </xf>
    <xf numFmtId="0" fontId="6" fillId="0" borderId="0" pivotButton="0" quotePrefix="0" xfId="0"/>
    <xf numFmtId="165" fontId="6" fillId="0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0" customWidth="1" min="4" max="4"/>
    <col width="44" customWidth="1" min="5" max="5"/>
  </cols>
  <sheetData>
    <row r="1" ht="30" customHeight="1">
      <c r="B1" s="1" t="inlineStr">
        <is>
          <t>W2O SALADA · 새벽배송 손익분기 시뮬레이터</t>
        </is>
      </c>
    </row>
    <row r="2">
      <c r="B2" s="2" t="inlineStr">
        <is>
          <t>노란 셀 = 직접 입력하는 가정값 · 나머지 시트는 자동 계산됩니다 (주 2회 화·목 배송 기준)</t>
        </is>
      </c>
    </row>
    <row r="4" ht="22" customHeight="1">
      <c r="B4" s="3" t="inlineStr">
        <is>
          <t>① 매출 가정</t>
        </is>
      </c>
      <c r="C4" s="3" t="n"/>
      <c r="D4" s="3" t="n"/>
      <c r="E4" s="3" t="n"/>
    </row>
    <row r="5">
      <c r="B5" s="4" t="inlineStr">
        <is>
          <t>객단가 (평균 결제액)</t>
        </is>
      </c>
      <c r="C5" s="5" t="n">
        <v>18000</v>
      </c>
      <c r="D5" s="2" t="inlineStr">
        <is>
          <t>원</t>
        </is>
      </c>
      <c r="E5" s="2" t="inlineStr">
        <is>
          <t>본품 최소 11,000원 + 음료·추가구성 평균. 업계 샐러드 새벽배송 1.5~2.5만</t>
        </is>
      </c>
    </row>
    <row r="6">
      <c r="B6" s="4" t="inlineStr">
        <is>
          <t>배송일당 주문 수</t>
        </is>
      </c>
      <c r="C6" s="5" t="n">
        <v>80</v>
      </c>
      <c r="D6" s="2" t="inlineStr">
        <is>
          <t>건</t>
        </is>
      </c>
      <c r="E6" s="2" t="inlineStr">
        <is>
          <t>이 값을 바꿔가며 손익분기 확인 (기본 시나리오)</t>
        </is>
      </c>
    </row>
    <row r="7">
      <c r="B7" s="4" t="inlineStr">
        <is>
          <t>주 배송 횟수</t>
        </is>
      </c>
      <c r="C7" s="5" t="n">
        <v>2</v>
      </c>
      <c r="D7" s="2" t="inlineStr">
        <is>
          <t>회</t>
        </is>
      </c>
      <c r="E7" s="2" t="inlineStr">
        <is>
          <t>화·목 = 2회 (Weekly 2 Order)</t>
        </is>
      </c>
    </row>
    <row r="8">
      <c r="B8" s="4" t="inlineStr">
        <is>
          <t>월 평균 주 수</t>
        </is>
      </c>
      <c r="C8" s="6" t="n">
        <v>4.345</v>
      </c>
      <c r="D8" s="2" t="inlineStr">
        <is>
          <t>주</t>
        </is>
      </c>
      <c r="E8" s="2" t="inlineStr">
        <is>
          <t>52주 ÷ 12개월 = 4.345</t>
        </is>
      </c>
    </row>
    <row r="9" ht="22" customHeight="1">
      <c r="B9" s="3" t="inlineStr">
        <is>
          <t>② 변동비 가정 (주문 1건당)</t>
        </is>
      </c>
      <c r="C9" s="3" t="n"/>
      <c r="D9" s="3" t="n"/>
      <c r="E9" s="3" t="n"/>
    </row>
    <row r="10">
      <c r="B10" s="4" t="inlineStr">
        <is>
          <t>식자재 원가율</t>
        </is>
      </c>
      <c r="C10" s="7" t="n">
        <v>0.38</v>
      </c>
      <c r="D10" s="2" t="inlineStr">
        <is>
          <t>%</t>
        </is>
      </c>
      <c r="E10" s="2" t="inlineStr">
        <is>
          <t>샐러드·신선 HMR 통상 35~42%</t>
        </is>
      </c>
    </row>
    <row r="11">
      <c r="B11" s="4" t="inlineStr">
        <is>
          <t>폐기율 (식자재 대비)</t>
        </is>
      </c>
      <c r="C11" s="7" t="n">
        <v>0.05</v>
      </c>
      <c r="D11" s="2" t="inlineStr">
        <is>
          <t>%</t>
        </is>
      </c>
      <c r="E11" s="2" t="inlineStr">
        <is>
          <t>예측생산 신선식품 통상 3~8%</t>
        </is>
      </c>
    </row>
    <row r="12">
      <c r="B12" s="4" t="inlineStr">
        <is>
          <t>건당 포장재비</t>
        </is>
      </c>
      <c r="C12" s="5" t="n">
        <v>1200</v>
      </c>
      <c r="D12" s="2" t="inlineStr">
        <is>
          <t>원</t>
        </is>
      </c>
      <c r="E12" s="2" t="inlineStr">
        <is>
          <t>보냉박스+아이스팩+용기 (비회수 기준)</t>
        </is>
      </c>
    </row>
    <row r="13">
      <c r="B13" s="4" t="inlineStr">
        <is>
          <t>PG 수수료율</t>
        </is>
      </c>
      <c r="C13" s="7" t="n">
        <v>0.033</v>
      </c>
      <c r="D13" s="2" t="inlineStr">
        <is>
          <t>%</t>
        </is>
      </c>
      <c r="E13" s="2" t="inlineStr">
        <is>
          <t>토스페이먼츠 약 3.3%</t>
        </is>
      </c>
    </row>
    <row r="14">
      <c r="B14" s="4" t="inlineStr">
        <is>
          <t>건당 알림톡비</t>
        </is>
      </c>
      <c r="C14" s="5" t="n">
        <v>40</v>
      </c>
      <c r="D14" s="2" t="inlineStr">
        <is>
          <t>원</t>
        </is>
      </c>
      <c r="E14" s="2" t="inlineStr">
        <is>
          <t>주문완료+출발+완료 3건 × 12~15원</t>
        </is>
      </c>
    </row>
    <row r="15" ht="22" customHeight="1">
      <c r="B15" s="3" t="inlineStr">
        <is>
          <t>③ 배송 가정 (최소비용 보장 용역)</t>
        </is>
      </c>
      <c r="C15" s="3" t="n"/>
      <c r="D15" s="3" t="n"/>
      <c r="E15" s="3" t="n"/>
    </row>
    <row r="16">
      <c r="B16" s="4" t="inlineStr">
        <is>
          <t>코스 최소 보장액</t>
        </is>
      </c>
      <c r="C16" s="5" t="n">
        <v>100000</v>
      </c>
      <c r="D16" s="2" t="inlineStr">
        <is>
          <t>원</t>
        </is>
      </c>
      <c r="E16" s="2" t="inlineStr">
        <is>
          <t>집수가 적어도 코스당 최소 지급액. 7만~10만 협의 중 — 이 값만 바꾸면 전체 재계산</t>
        </is>
      </c>
    </row>
    <row r="17">
      <c r="B17" s="4" t="inlineStr">
        <is>
          <t>집당 배송 단가</t>
        </is>
      </c>
      <c r="C17" s="5" t="n">
        <v>1000</v>
      </c>
      <c r="D17" s="2" t="inlineStr">
        <is>
          <t>원</t>
        </is>
      </c>
      <c r="E17" s="2" t="inlineStr">
        <is>
          <t>한 집 = 1건 (한 집에 샐러드·반찬이 함께 가도 1건)</t>
        </is>
      </c>
    </row>
    <row r="18">
      <c r="B18" s="4" t="inlineStr">
        <is>
          <t>코스당 최대 집수</t>
        </is>
      </c>
      <c r="C18" s="5" t="n">
        <v>200</v>
      </c>
      <c r="D18" s="2" t="inlineStr">
        <is>
          <t>집</t>
        </is>
      </c>
      <c r="E18" s="2" t="inlineStr">
        <is>
          <t>기사 1명이 새벽 4시간에 도는 물리 한계. 아파트 밀집이면 ↑, 단독주택이면 ↓</t>
        </is>
      </c>
    </row>
    <row r="19" ht="22" customHeight="1">
      <c r="B19" s="3" t="inlineStr">
        <is>
          <t>④ 고정비 가정 (월)</t>
        </is>
      </c>
      <c r="C19" s="3" t="n"/>
      <c r="D19" s="3" t="n"/>
      <c r="E19" s="3" t="n"/>
    </row>
    <row r="20">
      <c r="B20" s="4" t="inlineStr">
        <is>
          <t>주방 임대·관리비</t>
        </is>
      </c>
      <c r="C20" s="5" t="n">
        <v>2500000</v>
      </c>
      <c r="D20" s="2" t="inlineStr">
        <is>
          <t>원</t>
        </is>
      </c>
      <c r="E20" s="2" t="inlineStr">
        <is>
          <t>공유주방~소형 센터 초기 기준</t>
        </is>
      </c>
    </row>
    <row r="21">
      <c r="B21" s="4" t="inlineStr">
        <is>
          <t>인건비</t>
        </is>
      </c>
      <c r="C21" s="5" t="n">
        <v>12000000</v>
      </c>
      <c r="D21" s="2" t="inlineStr">
        <is>
          <t>원</t>
        </is>
      </c>
      <c r="E21" s="2" t="inlineStr">
        <is>
          <t>조리·포장·CS 4~5명 초기 소규모</t>
        </is>
      </c>
    </row>
    <row r="22">
      <c r="B22" s="4" t="inlineStr">
        <is>
          <t>차량·냉장설비</t>
        </is>
      </c>
      <c r="C22" s="5" t="n">
        <v>1500000</v>
      </c>
      <c r="D22" s="2" t="inlineStr">
        <is>
          <t>원</t>
        </is>
      </c>
      <c r="E22" s="2" t="inlineStr">
        <is>
          <t>리스·유지·냉장 인프라</t>
        </is>
      </c>
    </row>
    <row r="23">
      <c r="B23" s="4" t="inlineStr">
        <is>
          <t>마케팅비</t>
        </is>
      </c>
      <c r="C23" s="5" t="n">
        <v>3000000</v>
      </c>
      <c r="D23" s="2" t="inlineStr">
        <is>
          <t>원</t>
        </is>
      </c>
      <c r="E23" s="2" t="inlineStr">
        <is>
          <t>신규 유입 광고 (초기 공격 시 ↑)</t>
        </is>
      </c>
    </row>
    <row r="24">
      <c r="B24" s="4" t="inlineStr">
        <is>
          <t>기타 운영비</t>
        </is>
      </c>
      <c r="C24" s="5" t="n">
        <v>1000000</v>
      </c>
      <c r="D24" s="2" t="inlineStr">
        <is>
          <t>원</t>
        </is>
      </c>
      <c r="E24" s="2" t="inlineStr">
        <is>
          <t>SW·결제·보험·잡비</t>
        </is>
      </c>
    </row>
  </sheetData>
  <mergeCells count="6">
    <mergeCell ref="B9:E9"/>
    <mergeCell ref="B1:E1"/>
    <mergeCell ref="B4:E4"/>
    <mergeCell ref="B15:E15"/>
    <mergeCell ref="B2:E2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4" customWidth="1" min="4" max="4"/>
    <col width="40" customWidth="1" min="5" max="5"/>
  </cols>
  <sheetData>
    <row r="1" ht="28" customHeight="1">
      <c r="B1" s="1" t="inlineStr">
        <is>
          <t>월간 손익계산서 (현재 가정값 기준)</t>
        </is>
      </c>
    </row>
    <row r="3">
      <c r="B3" s="3" t="inlineStr">
        <is>
          <t>물량</t>
        </is>
      </c>
      <c r="C3" s="3" t="n"/>
      <c r="D3" s="3" t="n"/>
      <c r="E3" s="3" t="n"/>
    </row>
    <row r="4">
      <c r="B4" s="4" t="inlineStr">
        <is>
          <t>월 배송일 수</t>
        </is>
      </c>
      <c r="C4" s="8">
        <f>가정값!$C$7*가정값!$C$8</f>
        <v/>
      </c>
      <c r="E4" s="2" t="inlineStr">
        <is>
          <t>주 배송횟수 × 월평균주수</t>
        </is>
      </c>
    </row>
    <row r="5">
      <c r="B5" s="4" t="inlineStr">
        <is>
          <t>월 주문 건수</t>
        </is>
      </c>
      <c r="C5" s="9">
        <f>가정값!$C$6*손익!$C$4</f>
        <v/>
      </c>
      <c r="E5" s="2" t="inlineStr">
        <is>
          <t>배송일당 주문수 × 월 배송일수</t>
        </is>
      </c>
    </row>
    <row r="6">
      <c r="B6" s="3" t="inlineStr">
        <is>
          <t>배송 (최소비용 보장 구조)</t>
        </is>
      </c>
      <c r="C6" s="3" t="n"/>
      <c r="D6" s="3" t="n"/>
      <c r="E6" s="3" t="n"/>
    </row>
    <row r="7">
      <c r="B7" s="4" t="inlineStr">
        <is>
          <t>코스 분기점</t>
        </is>
      </c>
      <c r="C7" s="9">
        <f>가정값!$C$16/가정값!$C$17</f>
        <v/>
      </c>
      <c r="E7" s="2" t="inlineStr">
        <is>
          <t>보장액 ÷ 집당단가. 이 집수를 넘으면 건당 원가가 단가로 고정된다</t>
        </is>
      </c>
    </row>
    <row r="8">
      <c r="B8" s="4" t="inlineStr">
        <is>
          <t>배송일당 코스 수</t>
        </is>
      </c>
      <c r="C8" s="8">
        <f>MAX(1,CEILING(가정값!$C$6/가정값!$C$18,1))</f>
        <v/>
      </c>
      <c r="E8" s="2" t="inlineStr">
        <is>
          <t>집수 ÷ 코스당 최대집수 (올림). 코스를 더 나눠도 분기점 이상이면 총액은 같다</t>
        </is>
      </c>
    </row>
    <row r="9">
      <c r="B9" s="4" t="inlineStr">
        <is>
          <t>배송일당 배송비</t>
        </is>
      </c>
      <c r="C9" s="10">
        <f>MAX(손익!$C$8*가정값!$C$16,가정값!$C$6*가정값!$C$17)</f>
        <v/>
      </c>
      <c r="E9" s="2" t="inlineStr">
        <is>
          <t>max(코스수 × 보장액, 집수 × 단가)</t>
        </is>
      </c>
    </row>
    <row r="10">
      <c r="B10" s="11" t="inlineStr">
        <is>
          <t>실질 건당 배송비</t>
        </is>
      </c>
      <c r="C10" s="12">
        <f>IF(가정값!$C$6=0,0,손익!$C$9/가정값!$C$6)</f>
        <v/>
      </c>
      <c r="E10" s="2" t="inlineStr">
        <is>
          <t>물량이 분기점 미만이면 보장액 때문에 올라간다</t>
        </is>
      </c>
    </row>
    <row r="11">
      <c r="B11" s="3" t="inlineStr">
        <is>
          <t>매출</t>
        </is>
      </c>
      <c r="C11" s="3" t="n"/>
      <c r="D11" s="3" t="n"/>
      <c r="E11" s="3" t="n"/>
    </row>
    <row r="12">
      <c r="B12" s="11" t="inlineStr">
        <is>
          <t>월 매출액</t>
        </is>
      </c>
      <c r="C12" s="12">
        <f>가정값!$C$5*손익!$C$5</f>
        <v/>
      </c>
      <c r="E12" s="2" t="inlineStr">
        <is>
          <t>객단가 × 월 주문건수</t>
        </is>
      </c>
    </row>
    <row r="13">
      <c r="B13" s="3" t="inlineStr">
        <is>
          <t>변동비 (주문 1건당)</t>
        </is>
      </c>
      <c r="C13" s="3" t="n"/>
      <c r="D13" s="3" t="n"/>
      <c r="E13" s="3" t="n"/>
    </row>
    <row r="14">
      <c r="B14" s="4" t="inlineStr">
        <is>
          <t>식자재비</t>
        </is>
      </c>
      <c r="C14" s="10">
        <f>가정값!$C$5*가정값!$C$10</f>
        <v/>
      </c>
      <c r="E14" s="2" t="inlineStr">
        <is>
          <t>객단가 × 원가율</t>
        </is>
      </c>
    </row>
    <row r="15">
      <c r="B15" s="4" t="inlineStr">
        <is>
          <t>폐기 손실</t>
        </is>
      </c>
      <c r="C15" s="10">
        <f>손익!$C$14*가정값!$C$11</f>
        <v/>
      </c>
      <c r="E15" s="2" t="inlineStr">
        <is>
          <t>식자재비 × 폐기율</t>
        </is>
      </c>
    </row>
    <row r="16">
      <c r="B16" s="4" t="inlineStr">
        <is>
          <t>포장재비</t>
        </is>
      </c>
      <c r="C16" s="10">
        <f>가정값!$C$12</f>
        <v/>
      </c>
    </row>
    <row r="17">
      <c r="B17" s="4" t="inlineStr">
        <is>
          <t>배송비 (실질 건당)</t>
        </is>
      </c>
      <c r="C17" s="10">
        <f>손익!$C$10</f>
        <v/>
      </c>
      <c r="E17" s="2" t="inlineStr">
        <is>
          <t>위 배송 섹션에서 계산 — 물량에 따라 변한다</t>
        </is>
      </c>
    </row>
    <row r="18">
      <c r="B18" s="4" t="inlineStr">
        <is>
          <t>PG 수수료</t>
        </is>
      </c>
      <c r="C18" s="10">
        <f>가정값!$C$5*가정값!$C$13</f>
        <v/>
      </c>
      <c r="E18" s="2" t="inlineStr">
        <is>
          <t>객단가 × PG율</t>
        </is>
      </c>
    </row>
    <row r="19">
      <c r="B19" s="4" t="inlineStr">
        <is>
          <t>알림톡비</t>
        </is>
      </c>
      <c r="C19" s="10">
        <f>가정값!$C$14</f>
        <v/>
      </c>
    </row>
    <row r="20">
      <c r="B20" s="11" t="inlineStr">
        <is>
          <t>건당 변동비 합계</t>
        </is>
      </c>
      <c r="C20" s="12">
        <f>손익!$C$14+손익!$C$15+손익!$C$16+손익!$C$17+손익!$C$18+손익!$C$19</f>
        <v/>
      </c>
    </row>
    <row r="21">
      <c r="B21" s="3" t="inlineStr">
        <is>
          <t>공헌이익</t>
        </is>
      </c>
      <c r="C21" s="3" t="n"/>
      <c r="D21" s="3" t="n"/>
      <c r="E21" s="3" t="n"/>
    </row>
    <row r="22">
      <c r="B22" s="11" t="inlineStr">
        <is>
          <t>건당 공헌이익</t>
        </is>
      </c>
      <c r="C22" s="12">
        <f>손익!$C$12/손익!$C$5-손익!$C$20</f>
        <v/>
      </c>
      <c r="E22" s="2" t="inlineStr">
        <is>
          <t>객단가 − 건당 변동비</t>
        </is>
      </c>
    </row>
    <row r="23">
      <c r="B23" s="13" t="inlineStr">
        <is>
          <t>공헌이익률</t>
        </is>
      </c>
      <c r="C23" s="14">
        <f>손익!$C$22/가정값!$C$5</f>
        <v/>
      </c>
    </row>
    <row r="24">
      <c r="B24" s="11" t="inlineStr">
        <is>
          <t>월 공헌이익</t>
        </is>
      </c>
      <c r="C24" s="12">
        <f>손익!$C$22*손익!$C$5</f>
        <v/>
      </c>
    </row>
    <row r="25">
      <c r="B25" s="3" t="inlineStr">
        <is>
          <t>고정비 (월)</t>
        </is>
      </c>
      <c r="C25" s="3" t="n"/>
      <c r="D25" s="3" t="n"/>
      <c r="E25" s="3" t="n"/>
    </row>
    <row r="26">
      <c r="B26" s="4" t="inlineStr">
        <is>
          <t>주방 임대·관리비</t>
        </is>
      </c>
      <c r="C26" s="10">
        <f>가정값!$C$20</f>
        <v/>
      </c>
    </row>
    <row r="27">
      <c r="B27" s="4" t="inlineStr">
        <is>
          <t>인건비</t>
        </is>
      </c>
      <c r="C27" s="10">
        <f>가정값!$C$21</f>
        <v/>
      </c>
    </row>
    <row r="28">
      <c r="B28" s="4" t="inlineStr">
        <is>
          <t>차량·냉장설비</t>
        </is>
      </c>
      <c r="C28" s="10">
        <f>가정값!$C$22</f>
        <v/>
      </c>
    </row>
    <row r="29">
      <c r="B29" s="4" t="inlineStr">
        <is>
          <t>마케팅비</t>
        </is>
      </c>
      <c r="C29" s="10">
        <f>가정값!$C$23</f>
        <v/>
      </c>
    </row>
    <row r="30">
      <c r="B30" s="4" t="inlineStr">
        <is>
          <t>기타 운영비</t>
        </is>
      </c>
      <c r="C30" s="10">
        <f>가정값!$C$24</f>
        <v/>
      </c>
    </row>
    <row r="31">
      <c r="B31" s="11" t="inlineStr">
        <is>
          <t>월 고정비 합계</t>
        </is>
      </c>
      <c r="C31" s="12">
        <f>손익!$C$26+손익!$C$27+손익!$C$28+손익!$C$29+손익!$C$30</f>
        <v/>
      </c>
    </row>
    <row r="32">
      <c r="B32" s="3" t="inlineStr">
        <is>
          <t>영업손익</t>
        </is>
      </c>
      <c r="C32" s="3" t="n"/>
      <c r="D32" s="3" t="n"/>
      <c r="E32" s="3" t="n"/>
    </row>
    <row r="33">
      <c r="B33" s="11" t="inlineStr">
        <is>
          <t>월 영업이익</t>
        </is>
      </c>
      <c r="C33" s="12">
        <f>손익!$C$24-손익!$C$31</f>
        <v/>
      </c>
      <c r="E33" s="2" t="inlineStr">
        <is>
          <t>월 공헌이익 − 월 고정비</t>
        </is>
      </c>
    </row>
    <row r="34">
      <c r="B34" s="13" t="inlineStr">
        <is>
          <t>영업이익률</t>
        </is>
      </c>
      <c r="C34" s="14">
        <f>IF(손익!$C$12=0,0,손익!$C$33/손익!$C$12)</f>
        <v/>
      </c>
    </row>
  </sheetData>
  <mergeCells count="8">
    <mergeCell ref="B1:E1"/>
    <mergeCell ref="B13:E13"/>
    <mergeCell ref="B6:E6"/>
    <mergeCell ref="B21:E21"/>
    <mergeCell ref="B11:E11"/>
    <mergeCell ref="B25:E25"/>
    <mergeCell ref="B3:E3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B1" s="1" t="inlineStr">
        <is>
          <t>손익분기점 (BEP) 분석</t>
        </is>
      </c>
    </row>
    <row r="3">
      <c r="B3" s="3" t="inlineStr">
        <is>
          <t>핵심 지표</t>
        </is>
      </c>
      <c r="C3" s="3" t="n"/>
    </row>
    <row r="4">
      <c r="B4" s="11" t="inlineStr">
        <is>
          <t>손익분기 월 주문건수</t>
        </is>
      </c>
      <c r="C4" s="15">
        <f>손익!$C$31/손익!$C$22</f>
        <v/>
      </c>
    </row>
    <row r="5">
      <c r="B5" s="11" t="inlineStr">
        <is>
          <t>손익분기 배송일당 주문수</t>
        </is>
      </c>
      <c r="C5" s="15">
        <f>손익분기!$C$4/손익!$C$4</f>
        <v/>
      </c>
    </row>
    <row r="6">
      <c r="B6" s="11" t="inlineStr">
        <is>
          <t>손익분기 월 매출액</t>
        </is>
      </c>
      <c r="C6" s="12">
        <f>손익분기!$C$4*가정값!$C$5</f>
        <v/>
      </c>
    </row>
    <row r="7">
      <c r="B7" s="11" t="inlineStr">
        <is>
          <t>현재 가정 대비 안전마진</t>
        </is>
      </c>
      <c r="C7" s="16">
        <f>IF(손익!$C$5=0,0,(손익!$C$5-손익분기!$C$4)/손익!$C$5)</f>
        <v/>
      </c>
    </row>
    <row r="8">
      <c r="B8" s="11" t="inlineStr">
        <is>
          <t>현재 가정 손익 상태</t>
        </is>
      </c>
      <c r="C8" s="17">
        <f>IF(손익!$C$33&gt;=0,"흑자 (BEP 통과)","적자 (BEP 미달)")</f>
        <v/>
      </c>
    </row>
    <row r="9">
      <c r="B9" s="2" t="inlineStr">
        <is>
          <t>※ 위 BEP는 현재 가정값의 건당 배송비를 그대로 적용한 값입니다. 물량이 코스 분기점 미만이면 배송비가 올라가므로 아래 민감도 표를 함께 보세요.</t>
        </is>
      </c>
    </row>
    <row r="11">
      <c r="B11" s="3" t="inlineStr">
        <is>
          <t>민감도 — 배송일당 집수별 월 영업이익 (배송비를 물량에 맞춰 재계산)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30" customHeight="1">
      <c r="B12" s="18" t="inlineStr">
        <is>
          <t>배송일당 집수</t>
        </is>
      </c>
      <c r="C12" s="18" t="inlineStr">
        <is>
          <t>코스 수</t>
        </is>
      </c>
      <c r="D12" s="18" t="inlineStr">
        <is>
          <t>건당 배송비</t>
        </is>
      </c>
      <c r="E12" s="18" t="inlineStr">
        <is>
          <t>월 주문건수</t>
        </is>
      </c>
      <c r="F12" s="18" t="inlineStr">
        <is>
          <t>월 매출</t>
        </is>
      </c>
      <c r="G12" s="18" t="inlineStr">
        <is>
          <t>월 공헌이익</t>
        </is>
      </c>
      <c r="H12" s="18" t="inlineStr">
        <is>
          <t>월 고정비</t>
        </is>
      </c>
      <c r="I12" s="18" t="inlineStr">
        <is>
          <t>월 영업이익</t>
        </is>
      </c>
      <c r="J12" s="18" t="inlineStr">
        <is>
          <t>손익</t>
        </is>
      </c>
    </row>
    <row r="13">
      <c r="B13" s="9" t="n">
        <v>20</v>
      </c>
      <c r="C13" s="8">
        <f>MAX(1,CEILING($B$13/가정값!$C$18,1))</f>
        <v/>
      </c>
      <c r="D13" s="10">
        <f>MAX($C13*가정값!$C$16,$B$13*가정값!$C$17)/$B$13</f>
        <v/>
      </c>
      <c r="E13" s="9">
        <f>$B$13*손익!$C$4</f>
        <v/>
      </c>
      <c r="F13" s="10">
        <f>$E13*가정값!$C$5</f>
        <v/>
      </c>
      <c r="G13" s="10">
        <f>(손익!$C$22+손익!$C$17-$D13)*$E13</f>
        <v/>
      </c>
      <c r="H13" s="10">
        <f>손익!$C$31</f>
        <v/>
      </c>
      <c r="I13" s="10">
        <f>$G13-$H13</f>
        <v/>
      </c>
      <c r="J13" s="19">
        <f>IF($I13&gt;=0,"흑자","적자")</f>
        <v/>
      </c>
    </row>
    <row r="14">
      <c r="B14" s="9" t="n">
        <v>40</v>
      </c>
      <c r="C14" s="8">
        <f>MAX(1,CEILING($B$14/가정값!$C$18,1))</f>
        <v/>
      </c>
      <c r="D14" s="10">
        <f>MAX($C14*가정값!$C$16,$B$14*가정값!$C$17)/$B$14</f>
        <v/>
      </c>
      <c r="E14" s="9">
        <f>$B$14*손익!$C$4</f>
        <v/>
      </c>
      <c r="F14" s="10">
        <f>$E14*가정값!$C$5</f>
        <v/>
      </c>
      <c r="G14" s="10">
        <f>(손익!$C$22+손익!$C$17-$D14)*$E14</f>
        <v/>
      </c>
      <c r="H14" s="10">
        <f>손익!$C$31</f>
        <v/>
      </c>
      <c r="I14" s="10">
        <f>$G14-$H14</f>
        <v/>
      </c>
      <c r="J14" s="19">
        <f>IF($I14&gt;=0,"흑자","적자")</f>
        <v/>
      </c>
    </row>
    <row r="15">
      <c r="B15" s="9" t="n">
        <v>60</v>
      </c>
      <c r="C15" s="8">
        <f>MAX(1,CEILING($B$15/가정값!$C$18,1))</f>
        <v/>
      </c>
      <c r="D15" s="10">
        <f>MAX($C15*가정값!$C$16,$B$15*가정값!$C$17)/$B$15</f>
        <v/>
      </c>
      <c r="E15" s="9">
        <f>$B$15*손익!$C$4</f>
        <v/>
      </c>
      <c r="F15" s="10">
        <f>$E15*가정값!$C$5</f>
        <v/>
      </c>
      <c r="G15" s="10">
        <f>(손익!$C$22+손익!$C$17-$D15)*$E15</f>
        <v/>
      </c>
      <c r="H15" s="10">
        <f>손익!$C$31</f>
        <v/>
      </c>
      <c r="I15" s="10">
        <f>$G15-$H15</f>
        <v/>
      </c>
      <c r="J15" s="19">
        <f>IF($I15&gt;=0,"흑자","적자")</f>
        <v/>
      </c>
    </row>
    <row r="16">
      <c r="B16" s="9" t="n">
        <v>80</v>
      </c>
      <c r="C16" s="8">
        <f>MAX(1,CEILING($B$16/가정값!$C$18,1))</f>
        <v/>
      </c>
      <c r="D16" s="10">
        <f>MAX($C16*가정값!$C$16,$B$16*가정값!$C$17)/$B$16</f>
        <v/>
      </c>
      <c r="E16" s="9">
        <f>$B$16*손익!$C$4</f>
        <v/>
      </c>
      <c r="F16" s="10">
        <f>$E16*가정값!$C$5</f>
        <v/>
      </c>
      <c r="G16" s="10">
        <f>(손익!$C$22+손익!$C$17-$D16)*$E16</f>
        <v/>
      </c>
      <c r="H16" s="10">
        <f>손익!$C$31</f>
        <v/>
      </c>
      <c r="I16" s="10">
        <f>$G16-$H16</f>
        <v/>
      </c>
      <c r="J16" s="19">
        <f>IF($I16&gt;=0,"흑자","적자")</f>
        <v/>
      </c>
    </row>
    <row r="17">
      <c r="B17" s="9" t="n">
        <v>100</v>
      </c>
      <c r="C17" s="8">
        <f>MAX(1,CEILING($B$17/가정값!$C$18,1))</f>
        <v/>
      </c>
      <c r="D17" s="10">
        <f>MAX($C17*가정값!$C$16,$B$17*가정값!$C$17)/$B$17</f>
        <v/>
      </c>
      <c r="E17" s="9">
        <f>$B$17*손익!$C$4</f>
        <v/>
      </c>
      <c r="F17" s="10">
        <f>$E17*가정값!$C$5</f>
        <v/>
      </c>
      <c r="G17" s="10">
        <f>(손익!$C$22+손익!$C$17-$D17)*$E17</f>
        <v/>
      </c>
      <c r="H17" s="10">
        <f>손익!$C$31</f>
        <v/>
      </c>
      <c r="I17" s="10">
        <f>$G17-$H17</f>
        <v/>
      </c>
      <c r="J17" s="19">
        <f>IF($I17&gt;=0,"흑자","적자")</f>
        <v/>
      </c>
    </row>
    <row r="18">
      <c r="B18" s="9" t="n">
        <v>120</v>
      </c>
      <c r="C18" s="8">
        <f>MAX(1,CEILING($B$18/가정값!$C$18,1))</f>
        <v/>
      </c>
      <c r="D18" s="10">
        <f>MAX($C18*가정값!$C$16,$B$18*가정값!$C$17)/$B$18</f>
        <v/>
      </c>
      <c r="E18" s="9">
        <f>$B$18*손익!$C$4</f>
        <v/>
      </c>
      <c r="F18" s="10">
        <f>$E18*가정값!$C$5</f>
        <v/>
      </c>
      <c r="G18" s="10">
        <f>(손익!$C$22+손익!$C$17-$D18)*$E18</f>
        <v/>
      </c>
      <c r="H18" s="10">
        <f>손익!$C$31</f>
        <v/>
      </c>
      <c r="I18" s="10">
        <f>$G18-$H18</f>
        <v/>
      </c>
      <c r="J18" s="19">
        <f>IF($I18&gt;=0,"흑자","적자")</f>
        <v/>
      </c>
    </row>
    <row r="19">
      <c r="B19" s="9" t="n">
        <v>150</v>
      </c>
      <c r="C19" s="8">
        <f>MAX(1,CEILING($B$19/가정값!$C$18,1))</f>
        <v/>
      </c>
      <c r="D19" s="10">
        <f>MAX($C19*가정값!$C$16,$B$19*가정값!$C$17)/$B$19</f>
        <v/>
      </c>
      <c r="E19" s="9">
        <f>$B$19*손익!$C$4</f>
        <v/>
      </c>
      <c r="F19" s="10">
        <f>$E19*가정값!$C$5</f>
        <v/>
      </c>
      <c r="G19" s="10">
        <f>(손익!$C$22+손익!$C$17-$D19)*$E19</f>
        <v/>
      </c>
      <c r="H19" s="10">
        <f>손익!$C$31</f>
        <v/>
      </c>
      <c r="I19" s="10">
        <f>$G19-$H19</f>
        <v/>
      </c>
      <c r="J19" s="19">
        <f>IF($I19&gt;=0,"흑자","적자")</f>
        <v/>
      </c>
    </row>
    <row r="20">
      <c r="B20" s="9" t="n">
        <v>200</v>
      </c>
      <c r="C20" s="8">
        <f>MAX(1,CEILING($B$20/가정값!$C$18,1))</f>
        <v/>
      </c>
      <c r="D20" s="10">
        <f>MAX($C20*가정값!$C$16,$B$20*가정값!$C$17)/$B$20</f>
        <v/>
      </c>
      <c r="E20" s="9">
        <f>$B$20*손익!$C$4</f>
        <v/>
      </c>
      <c r="F20" s="10">
        <f>$E20*가정값!$C$5</f>
        <v/>
      </c>
      <c r="G20" s="10">
        <f>(손익!$C$22+손익!$C$17-$D20)*$E20</f>
        <v/>
      </c>
      <c r="H20" s="10">
        <f>손익!$C$31</f>
        <v/>
      </c>
      <c r="I20" s="10">
        <f>$G20-$H20</f>
        <v/>
      </c>
      <c r="J20" s="19">
        <f>IF($I20&gt;=0,"흑자","적자")</f>
        <v/>
      </c>
    </row>
    <row r="21">
      <c r="B21" s="9" t="n">
        <v>250</v>
      </c>
      <c r="C21" s="8">
        <f>MAX(1,CEILING($B$21/가정값!$C$18,1))</f>
        <v/>
      </c>
      <c r="D21" s="10">
        <f>MAX($C21*가정값!$C$16,$B$21*가정값!$C$17)/$B$21</f>
        <v/>
      </c>
      <c r="E21" s="9">
        <f>$B$21*손익!$C$4</f>
        <v/>
      </c>
      <c r="F21" s="10">
        <f>$E21*가정값!$C$5</f>
        <v/>
      </c>
      <c r="G21" s="10">
        <f>(손익!$C$22+손익!$C$17-$D21)*$E21</f>
        <v/>
      </c>
      <c r="H21" s="10">
        <f>손익!$C$31</f>
        <v/>
      </c>
      <c r="I21" s="10">
        <f>$G21-$H21</f>
        <v/>
      </c>
      <c r="J21" s="19">
        <f>IF($I21&gt;=0,"흑자","적자")</f>
        <v/>
      </c>
    </row>
    <row r="22">
      <c r="B22" s="9" t="n">
        <v>300</v>
      </c>
      <c r="C22" s="8">
        <f>MAX(1,CEILING($B$22/가정값!$C$18,1))</f>
        <v/>
      </c>
      <c r="D22" s="10">
        <f>MAX($C22*가정값!$C$16,$B$22*가정값!$C$17)/$B$22</f>
        <v/>
      </c>
      <c r="E22" s="9">
        <f>$B$22*손익!$C$4</f>
        <v/>
      </c>
      <c r="F22" s="10">
        <f>$E22*가정값!$C$5</f>
        <v/>
      </c>
      <c r="G22" s="10">
        <f>(손익!$C$22+손익!$C$17-$D22)*$E22</f>
        <v/>
      </c>
      <c r="H22" s="10">
        <f>손익!$C$31</f>
        <v/>
      </c>
      <c r="I22" s="10">
        <f>$G22-$H22</f>
        <v/>
      </c>
      <c r="J22" s="19">
        <f>IF($I22&gt;=0,"흑자","적자")</f>
        <v/>
      </c>
    </row>
    <row r="24">
      <c r="B24" s="3" t="inlineStr">
        <is>
          <t>민감도 — 코스 최소 보장액별 실질 건당 배송비 (보장액 확정 전 비교용)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28" customHeight="1">
      <c r="B25" s="20" t="inlineStr">
        <is>
          <t>배송일당 집수</t>
        </is>
      </c>
      <c r="C25" s="20" t="inlineStr">
        <is>
          <t>보장액 7만 원</t>
        </is>
      </c>
      <c r="D25" s="20" t="inlineStr">
        <is>
          <t>보장액 8만 원</t>
        </is>
      </c>
      <c r="E25" s="20" t="inlineStr">
        <is>
          <t>보장액 9만 원</t>
        </is>
      </c>
      <c r="F25" s="20" t="inlineStr">
        <is>
          <t>보장액 10만 원</t>
        </is>
      </c>
      <c r="G25" s="20" t="inlineStr">
        <is>
          <t>보장액 12만 원</t>
        </is>
      </c>
    </row>
    <row r="26">
      <c r="B26" s="9" t="n">
        <v>40</v>
      </c>
      <c r="C26" s="10">
        <f>MAX(MAX(1,CEILING($B$26/가정값!$C$18,1))*70000,$B$26*가정값!$C$17)/$B$26</f>
        <v/>
      </c>
      <c r="D26" s="10">
        <f>MAX(MAX(1,CEILING($B$26/가정값!$C$18,1))*80000,$B$26*가정값!$C$17)/$B$26</f>
        <v/>
      </c>
      <c r="E26" s="10">
        <f>MAX(MAX(1,CEILING($B$26/가정값!$C$18,1))*90000,$B$26*가정값!$C$17)/$B$26</f>
        <v/>
      </c>
      <c r="F26" s="10">
        <f>MAX(MAX(1,CEILING($B$26/가정값!$C$18,1))*100000,$B$26*가정값!$C$17)/$B$26</f>
        <v/>
      </c>
      <c r="G26" s="10">
        <f>MAX(MAX(1,CEILING($B$26/가정값!$C$18,1))*120000,$B$26*가정값!$C$17)/$B$26</f>
        <v/>
      </c>
    </row>
    <row r="27">
      <c r="B27" s="9" t="n">
        <v>60</v>
      </c>
      <c r="C27" s="10">
        <f>MAX(MAX(1,CEILING($B$27/가정값!$C$18,1))*70000,$B$27*가정값!$C$17)/$B$27</f>
        <v/>
      </c>
      <c r="D27" s="10">
        <f>MAX(MAX(1,CEILING($B$27/가정값!$C$18,1))*80000,$B$27*가정값!$C$17)/$B$27</f>
        <v/>
      </c>
      <c r="E27" s="10">
        <f>MAX(MAX(1,CEILING($B$27/가정값!$C$18,1))*90000,$B$27*가정값!$C$17)/$B$27</f>
        <v/>
      </c>
      <c r="F27" s="10">
        <f>MAX(MAX(1,CEILING($B$27/가정값!$C$18,1))*100000,$B$27*가정값!$C$17)/$B$27</f>
        <v/>
      </c>
      <c r="G27" s="10">
        <f>MAX(MAX(1,CEILING($B$27/가정값!$C$18,1))*120000,$B$27*가정값!$C$17)/$B$27</f>
        <v/>
      </c>
    </row>
    <row r="28">
      <c r="B28" s="9" t="n">
        <v>80</v>
      </c>
      <c r="C28" s="10">
        <f>MAX(MAX(1,CEILING($B$28/가정값!$C$18,1))*70000,$B$28*가정값!$C$17)/$B$28</f>
        <v/>
      </c>
      <c r="D28" s="10">
        <f>MAX(MAX(1,CEILING($B$28/가정값!$C$18,1))*80000,$B$28*가정값!$C$17)/$B$28</f>
        <v/>
      </c>
      <c r="E28" s="10">
        <f>MAX(MAX(1,CEILING($B$28/가정값!$C$18,1))*90000,$B$28*가정값!$C$17)/$B$28</f>
        <v/>
      </c>
      <c r="F28" s="10">
        <f>MAX(MAX(1,CEILING($B$28/가정값!$C$18,1))*100000,$B$28*가정값!$C$17)/$B$28</f>
        <v/>
      </c>
      <c r="G28" s="10">
        <f>MAX(MAX(1,CEILING($B$28/가정값!$C$18,1))*120000,$B$28*가정값!$C$17)/$B$28</f>
        <v/>
      </c>
    </row>
    <row r="29">
      <c r="B29" s="9" t="n">
        <v>100</v>
      </c>
      <c r="C29" s="10">
        <f>MAX(MAX(1,CEILING($B$29/가정값!$C$18,1))*70000,$B$29*가정값!$C$17)/$B$29</f>
        <v/>
      </c>
      <c r="D29" s="10">
        <f>MAX(MAX(1,CEILING($B$29/가정값!$C$18,1))*80000,$B$29*가정값!$C$17)/$B$29</f>
        <v/>
      </c>
      <c r="E29" s="10">
        <f>MAX(MAX(1,CEILING($B$29/가정값!$C$18,1))*90000,$B$29*가정값!$C$17)/$B$29</f>
        <v/>
      </c>
      <c r="F29" s="10">
        <f>MAX(MAX(1,CEILING($B$29/가정값!$C$18,1))*100000,$B$29*가정값!$C$17)/$B$29</f>
        <v/>
      </c>
      <c r="G29" s="10">
        <f>MAX(MAX(1,CEILING($B$29/가정값!$C$18,1))*120000,$B$29*가정값!$C$17)/$B$29</f>
        <v/>
      </c>
    </row>
    <row r="30">
      <c r="B30" s="9" t="n">
        <v>120</v>
      </c>
      <c r="C30" s="10">
        <f>MAX(MAX(1,CEILING($B$30/가정값!$C$18,1))*70000,$B$30*가정값!$C$17)/$B$30</f>
        <v/>
      </c>
      <c r="D30" s="10">
        <f>MAX(MAX(1,CEILING($B$30/가정값!$C$18,1))*80000,$B$30*가정값!$C$17)/$B$30</f>
        <v/>
      </c>
      <c r="E30" s="10">
        <f>MAX(MAX(1,CEILING($B$30/가정값!$C$18,1))*90000,$B$30*가정값!$C$17)/$B$30</f>
        <v/>
      </c>
      <c r="F30" s="10">
        <f>MAX(MAX(1,CEILING($B$30/가정값!$C$18,1))*100000,$B$30*가정값!$C$17)/$B$30</f>
        <v/>
      </c>
      <c r="G30" s="10">
        <f>MAX(MAX(1,CEILING($B$30/가정값!$C$18,1))*120000,$B$30*가정값!$C$17)/$B$30</f>
        <v/>
      </c>
    </row>
    <row r="31">
      <c r="B31" s="9" t="n">
        <v>150</v>
      </c>
      <c r="C31" s="10">
        <f>MAX(MAX(1,CEILING($B$31/가정값!$C$18,1))*70000,$B$31*가정값!$C$17)/$B$31</f>
        <v/>
      </c>
      <c r="D31" s="10">
        <f>MAX(MAX(1,CEILING($B$31/가정값!$C$18,1))*80000,$B$31*가정값!$C$17)/$B$31</f>
        <v/>
      </c>
      <c r="E31" s="10">
        <f>MAX(MAX(1,CEILING($B$31/가정값!$C$18,1))*90000,$B$31*가정값!$C$17)/$B$31</f>
        <v/>
      </c>
      <c r="F31" s="10">
        <f>MAX(MAX(1,CEILING($B$31/가정값!$C$18,1))*100000,$B$31*가정값!$C$17)/$B$31</f>
        <v/>
      </c>
      <c r="G31" s="10">
        <f>MAX(MAX(1,CEILING($B$31/가정값!$C$18,1))*120000,$B$31*가정값!$C$17)/$B$31</f>
        <v/>
      </c>
    </row>
    <row r="32">
      <c r="B32" s="9" t="n">
        <v>200</v>
      </c>
      <c r="C32" s="10">
        <f>MAX(MAX(1,CEILING($B$32/가정값!$C$18,1))*70000,$B$32*가정값!$C$17)/$B$32</f>
        <v/>
      </c>
      <c r="D32" s="10">
        <f>MAX(MAX(1,CEILING($B$32/가정값!$C$18,1))*80000,$B$32*가정값!$C$17)/$B$32</f>
        <v/>
      </c>
      <c r="E32" s="10">
        <f>MAX(MAX(1,CEILING($B$32/가정값!$C$18,1))*90000,$B$32*가정값!$C$17)/$B$32</f>
        <v/>
      </c>
      <c r="F32" s="10">
        <f>MAX(MAX(1,CEILING($B$32/가정값!$C$18,1))*100000,$B$32*가정값!$C$17)/$B$32</f>
        <v/>
      </c>
      <c r="G32" s="10">
        <f>MAX(MAX(1,CEILING($B$32/가정값!$C$18,1))*120000,$B$32*가정값!$C$17)/$B$32</f>
        <v/>
      </c>
    </row>
    <row r="33">
      <c r="B33" s="9" t="n">
        <v>300</v>
      </c>
      <c r="C33" s="10">
        <f>MAX(MAX(1,CEILING($B$33/가정값!$C$18,1))*70000,$B$33*가정값!$C$17)/$B$33</f>
        <v/>
      </c>
      <c r="D33" s="10">
        <f>MAX(MAX(1,CEILING($B$33/가정값!$C$18,1))*80000,$B$33*가정값!$C$17)/$B$33</f>
        <v/>
      </c>
      <c r="E33" s="10">
        <f>MAX(MAX(1,CEILING($B$33/가정값!$C$18,1))*90000,$B$33*가정값!$C$17)/$B$33</f>
        <v/>
      </c>
      <c r="F33" s="10">
        <f>MAX(MAX(1,CEILING($B$33/가정값!$C$18,1))*100000,$B$33*가정값!$C$17)/$B$33</f>
        <v/>
      </c>
      <c r="G33" s="10">
        <f>MAX(MAX(1,CEILING($B$33/가정값!$C$18,1))*120000,$B$33*가정값!$C$17)/$B$33</f>
        <v/>
      </c>
    </row>
    <row r="35">
      <c r="B35" s="2" t="inlineStr">
        <is>
          <t>※ 노란 셀(가정값 시트)을 바꾸면 모든 수치가 자동 재계산됩니다. 보장액은 협의에 따라 바뀔 수 있으므로 위 표에서 금액별 영향을 먼저 확인하세요.</t>
        </is>
      </c>
    </row>
  </sheetData>
  <mergeCells count="6">
    <mergeCell ref="B11:J11"/>
    <mergeCell ref="B3:C3"/>
    <mergeCell ref="B9:J9"/>
    <mergeCell ref="B1:J1"/>
    <mergeCell ref="B35:J35"/>
    <mergeCell ref="B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2026-09-26T08:16:14Z</dcterms:created>
  <dcterms:modified xmlns:dcterms="http://purl.org/dc/terms/" xmlns:xsi="http://www.w3.org/2001/XMLSchema-instance" xsi:type="dcterms:W3CDTF">2026-09-26T08:16:14Z</dcterms:modified>
</cp:coreProperties>
</file>